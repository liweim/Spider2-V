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projects\Spider2-V\"/>
    </mc:Choice>
  </mc:AlternateContent>
  <xr:revisionPtr revIDLastSave="0" documentId="13_ncr:1_{0EE7FFB1-4121-4906-A336-378E0CD08BCE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1" l="1"/>
  <c r="C7" i="1"/>
</calcChain>
</file>

<file path=xl/sharedStrings.xml><?xml version="1.0" encoding="utf-8"?>
<sst xmlns="http://schemas.openxmlformats.org/spreadsheetml/2006/main" count="12" uniqueCount="12">
  <si>
    <t>coact_15_10_10_20</t>
    <phoneticPr fontId="1" type="noConversion"/>
  </si>
  <si>
    <t>coact_15_15_15_30_rag</t>
    <phoneticPr fontId="1" type="noConversion"/>
  </si>
  <si>
    <t>Spider2-V/small (68)</t>
    <phoneticPr fontId="1" type="noConversion"/>
  </si>
  <si>
    <t>som_gpt_4o_rag_ef_15</t>
    <phoneticPr fontId="1" type="noConversion"/>
  </si>
  <si>
    <t>som_gpt_4o_rag_ef_15_verbose</t>
    <phoneticPr fontId="1" type="noConversion"/>
  </si>
  <si>
    <t>coact_15_20_25_50_rag_verbose</t>
    <phoneticPr fontId="1" type="noConversion"/>
  </si>
  <si>
    <t>Score/%</t>
    <phoneticPr fontId="1" type="noConversion"/>
  </si>
  <si>
    <t>Cost/$</t>
    <phoneticPr fontId="1" type="noConversion"/>
  </si>
  <si>
    <t>Tokens</t>
    <phoneticPr fontId="1" type="noConversion"/>
  </si>
  <si>
    <t>Method</t>
    <phoneticPr fontId="1" type="noConversion"/>
  </si>
  <si>
    <t>my_agent_o4mini_15_rag</t>
    <phoneticPr fontId="1" type="noConversion"/>
  </si>
  <si>
    <t>langgraph_o4mini_cua_50_rag_verbose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</si>
</sst>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3" fontId="0" fillId="0" borderId="0" xfId="0" applyNumberFormat="1"/>
    <xf numFmtId="3" fontId="2" fillId="0" borderId="0" xfId="0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tabSelected="1" workbookViewId="0">
      <selection activeCell="K15" sqref="K15"/>
    </sheetView>
  </sheetViews>
  <sheetFormatPr defaultRowHeight="14" x14ac:dyDescent="0.3"/>
  <cols>
    <col min="1" max="1" width="37.83203125" customWidth="1"/>
    <col min="4" max="4" width="10" bestFit="1" customWidth="1"/>
  </cols>
  <sheetData>
    <row r="1" spans="1:4" x14ac:dyDescent="0.3">
      <c r="A1" t="s">
        <v>2</v>
      </c>
    </row>
    <row r="2" spans="1:4" x14ac:dyDescent="0.3">
      <c r="A2" t="s">
        <v>9</v>
      </c>
      <c r="B2" t="s">
        <v>6</v>
      </c>
      <c r="C2" t="s">
        <v>7</v>
      </c>
      <c r="D2" t="s">
        <v>8</v>
      </c>
    </row>
    <row r="3" spans="1:4" x14ac:dyDescent="0.3">
      <c r="A3" t="s">
        <v>3</v>
      </c>
      <c r="B3">
        <v>4.41</v>
      </c>
    </row>
    <row r="4" spans="1:4" x14ac:dyDescent="0.3">
      <c r="A4" t="s">
        <v>4</v>
      </c>
      <c r="B4">
        <v>10.29</v>
      </c>
      <c r="C4">
        <v>59.76</v>
      </c>
      <c r="D4" s="2">
        <v>19293177</v>
      </c>
    </row>
    <row r="5" spans="1:4" x14ac:dyDescent="0.3">
      <c r="A5" t="s">
        <v>0</v>
      </c>
      <c r="B5">
        <v>17.649999999999999</v>
      </c>
    </row>
    <row r="6" spans="1:4" x14ac:dyDescent="0.3">
      <c r="A6" t="s">
        <v>1</v>
      </c>
      <c r="B6">
        <v>20.59</v>
      </c>
    </row>
    <row r="7" spans="1:4" x14ac:dyDescent="0.3">
      <c r="A7" t="s">
        <v>5</v>
      </c>
      <c r="B7">
        <v>20.58</v>
      </c>
      <c r="C7">
        <f>0.865*68</f>
        <v>58.82</v>
      </c>
      <c r="D7">
        <f>408221.25*68</f>
        <v>27759045</v>
      </c>
    </row>
    <row r="8" spans="1:4" x14ac:dyDescent="0.3">
      <c r="A8" t="s">
        <v>10</v>
      </c>
      <c r="B8">
        <v>10.29</v>
      </c>
    </row>
    <row r="9" spans="1:4" s="1" customFormat="1" x14ac:dyDescent="0.3">
      <c r="A9" s="1" t="s">
        <v>11</v>
      </c>
      <c r="B9" s="1">
        <v>36.76</v>
      </c>
      <c r="C9" s="1">
        <v>22.12</v>
      </c>
      <c r="D9" s="3">
        <v>12368403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Weiming Li</dc:creator>
  <cp:lastModifiedBy>Weiming Li</cp:lastModifiedBy>
  <dcterms:created xsi:type="dcterms:W3CDTF">2015-06-05T18:17:20Z</dcterms:created>
  <dcterms:modified xsi:type="dcterms:W3CDTF">2025-10-05T23:10:25Z</dcterms:modified>
</cp:coreProperties>
</file>